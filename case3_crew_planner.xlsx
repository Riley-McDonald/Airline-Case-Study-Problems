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Duty Tracker" sheetId="1" state="visible" r:id="rId1"/>
    <sheet xmlns:r="http://schemas.openxmlformats.org/officeDocument/2006/relationships" name="Instructions &amp; H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666666"/>
      <sz val="10"/>
    </font>
    <font>
      <b val="1"/>
      <sz val="10"/>
    </font>
    <font>
      <b val="1"/>
      <color rgb="00CC0000"/>
      <sz val="12"/>
    </font>
    <font>
      <b val="1"/>
      <color rgb="00FFFFFF"/>
      <sz val="11"/>
    </font>
    <font>
      <b val="1"/>
      <color rgb="001E3A5F"/>
      <sz val="11"/>
    </font>
    <font>
      <sz val="10"/>
    </font>
    <font>
      <b val="1"/>
      <color rgb="001E3A5F"/>
      <sz val="13"/>
    </font>
    <font>
      <color rgb="00333333"/>
      <sz val="11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EEAA"/>
        </patternFill>
      </fill>
    </dxf>
    <dxf>
      <fill>
        <patternFill patternType="solid">
          <fgColor rgb="00CCEE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20" customWidth="1" min="4" max="4"/>
    <col width="20" customWidth="1" min="5" max="5"/>
    <col width="8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JetBlue SOC — Crew Duty Hour Scenario Planner</t>
        </is>
      </c>
    </row>
    <row r="2">
      <c r="A2" s="2" t="inlineStr">
        <is>
          <t>Winter Storm BOS IROPS | SOC time: 14:00 | Edit delay hours in col K row 2</t>
        </is>
      </c>
      <c r="K2" s="3" t="inlineStr">
        <is>
          <t>Delay hrs</t>
        </is>
      </c>
      <c r="L2" s="4" t="n">
        <v>2</v>
      </c>
    </row>
    <row r="4" ht="30" customHeight="1">
      <c r="A4" s="5" t="inlineStr">
        <is>
          <t>Crew ID</t>
        </is>
      </c>
      <c r="B4" s="5" t="inlineStr">
        <is>
          <t>Base</t>
        </is>
      </c>
      <c r="C4" s="5" t="inlineStr">
        <is>
          <t>Role</t>
        </is>
      </c>
      <c r="D4" s="5" t="inlineStr">
        <is>
          <t>Duty Start</t>
        </is>
      </c>
      <c r="E4" s="5" t="inlineStr">
        <is>
          <t>Sched End</t>
        </is>
      </c>
      <c r="F4" s="5" t="inlineStr">
        <is>
          <t>Max Hrs</t>
        </is>
      </c>
      <c r="G4" s="5" t="inlineStr">
        <is>
          <t>Hrs Elapsed</t>
        </is>
      </c>
      <c r="H4" s="5" t="inlineStr">
        <is>
          <t>Sched Hrs</t>
        </is>
      </c>
      <c r="I4" s="5" t="inlineStr">
        <is>
          <t>Status Now</t>
        </is>
      </c>
      <c r="J4" s="5" t="inlineStr">
        <is>
          <t>+1 hr</t>
        </is>
      </c>
      <c r="K4" s="5" t="inlineStr">
        <is>
          <t>+2 hr</t>
        </is>
      </c>
      <c r="L4" s="5" t="inlineStr">
        <is>
          <t>+3 hr</t>
        </is>
      </c>
    </row>
    <row r="5">
      <c r="A5" s="6" t="inlineStr">
        <is>
          <t>CA001</t>
        </is>
      </c>
      <c r="B5" s="6" t="inlineStr">
        <is>
          <t>BOS</t>
        </is>
      </c>
      <c r="C5" s="6" t="inlineStr">
        <is>
          <t>Captain</t>
        </is>
      </c>
      <c r="D5" s="6" t="inlineStr">
        <is>
          <t>04:30</t>
        </is>
      </c>
      <c r="E5" s="6" t="inlineStr">
        <is>
          <t>16:30</t>
        </is>
      </c>
      <c r="F5" s="6" t="n">
        <v>14</v>
      </c>
      <c r="G5" s="7" t="n">
        <v>9.5</v>
      </c>
      <c r="H5" s="7" t="n">
        <v>12</v>
      </c>
      <c r="I5" s="6">
        <f>IF(G5&gt;F5,"TIMED OUT",IF(G5&gt;F5-1,"NEAR LIMIT","OK"))</f>
        <v/>
      </c>
      <c r="J5" s="6">
        <f>IF((H5+1)&gt;F5,"TIMEOUT",IF((H5+1)&gt;F5-1,"NEAR LIMIT","OK"))</f>
        <v/>
      </c>
      <c r="K5" s="6">
        <f>IF((H5+2)&gt;F5,"TIMEOUT",IF((H5+2)&gt;F5-1,"NEAR LIMIT","OK"))</f>
        <v/>
      </c>
      <c r="L5" s="6">
        <f>IF((H5+3)&gt;F5,"TIMEOUT",IF((H5+3)&gt;F5-1,"NEAR LIMIT","OK"))</f>
        <v/>
      </c>
    </row>
    <row r="6">
      <c r="A6" s="6" t="inlineStr">
        <is>
          <t>CA002</t>
        </is>
      </c>
      <c r="B6" s="6" t="inlineStr">
        <is>
          <t>BOS</t>
        </is>
      </c>
      <c r="C6" s="6" t="inlineStr">
        <is>
          <t>First Officer</t>
        </is>
      </c>
      <c r="D6" s="6" t="inlineStr">
        <is>
          <t>04:30</t>
        </is>
      </c>
      <c r="E6" s="6" t="inlineStr">
        <is>
          <t>16:30</t>
        </is>
      </c>
      <c r="F6" s="6" t="n">
        <v>14</v>
      </c>
      <c r="G6" s="7" t="n">
        <v>9.5</v>
      </c>
      <c r="H6" s="7" t="n">
        <v>12</v>
      </c>
      <c r="I6" s="6">
        <f>IF(G6&gt;F6,"TIMED OUT",IF(G6&gt;F6-1,"NEAR LIMIT","OK"))</f>
        <v/>
      </c>
      <c r="J6" s="6">
        <f>IF((H6+1)&gt;F6,"TIMEOUT",IF((H6+1)&gt;F6-1,"NEAR LIMIT","OK"))</f>
        <v/>
      </c>
      <c r="K6" s="6">
        <f>IF((H6+2)&gt;F6,"TIMEOUT",IF((H6+2)&gt;F6-1,"NEAR LIMIT","OK"))</f>
        <v/>
      </c>
      <c r="L6" s="6">
        <f>IF((H6+3)&gt;F6,"TIMEOUT",IF((H6+3)&gt;F6-1,"NEAR LIMIT","OK"))</f>
        <v/>
      </c>
    </row>
    <row r="7">
      <c r="A7" s="6" t="inlineStr">
        <is>
          <t>CA003</t>
        </is>
      </c>
      <c r="B7" s="6" t="inlineStr">
        <is>
          <t>JFK</t>
        </is>
      </c>
      <c r="C7" s="6" t="inlineStr">
        <is>
          <t>Captain</t>
        </is>
      </c>
      <c r="D7" s="6" t="inlineStr">
        <is>
          <t>05:00</t>
        </is>
      </c>
      <c r="E7" s="6" t="inlineStr">
        <is>
          <t>17:30</t>
        </is>
      </c>
      <c r="F7" s="6" t="n">
        <v>14</v>
      </c>
      <c r="G7" s="7" t="n">
        <v>9</v>
      </c>
      <c r="H7" s="7" t="n">
        <v>12.5</v>
      </c>
      <c r="I7" s="6">
        <f>IF(G7&gt;F7,"TIMED OUT",IF(G7&gt;F7-1,"NEAR LIMIT","OK"))</f>
        <v/>
      </c>
      <c r="J7" s="6">
        <f>IF((H7+1)&gt;F7,"TIMEOUT",IF((H7+1)&gt;F7-1,"NEAR LIMIT","OK"))</f>
        <v/>
      </c>
      <c r="K7" s="6">
        <f>IF((H7+2)&gt;F7,"TIMEOUT",IF((H7+2)&gt;F7-1,"NEAR LIMIT","OK"))</f>
        <v/>
      </c>
      <c r="L7" s="6">
        <f>IF((H7+3)&gt;F7,"TIMEOUT",IF((H7+3)&gt;F7-1,"NEAR LIMIT","OK"))</f>
        <v/>
      </c>
    </row>
    <row r="8">
      <c r="A8" s="6" t="inlineStr">
        <is>
          <t>CA004</t>
        </is>
      </c>
      <c r="B8" s="6" t="inlineStr">
        <is>
          <t>JFK</t>
        </is>
      </c>
      <c r="C8" s="6" t="inlineStr">
        <is>
          <t>First Officer</t>
        </is>
      </c>
      <c r="D8" s="6" t="inlineStr">
        <is>
          <t>05:00</t>
        </is>
      </c>
      <c r="E8" s="6" t="inlineStr">
        <is>
          <t>17:30</t>
        </is>
      </c>
      <c r="F8" s="6" t="n">
        <v>14</v>
      </c>
      <c r="G8" s="7" t="n">
        <v>9</v>
      </c>
      <c r="H8" s="7" t="n">
        <v>12.5</v>
      </c>
      <c r="I8" s="6">
        <f>IF(G8&gt;F8,"TIMED OUT",IF(G8&gt;F8-1,"NEAR LIMIT","OK"))</f>
        <v/>
      </c>
      <c r="J8" s="6">
        <f>IF((H8+1)&gt;F8,"TIMEOUT",IF((H8+1)&gt;F8-1,"NEAR LIMIT","OK"))</f>
        <v/>
      </c>
      <c r="K8" s="6">
        <f>IF((H8+2)&gt;F8,"TIMEOUT",IF((H8+2)&gt;F8-1,"NEAR LIMIT","OK"))</f>
        <v/>
      </c>
      <c r="L8" s="6">
        <f>IF((H8+3)&gt;F8,"TIMEOUT",IF((H8+3)&gt;F8-1,"NEAR LIMIT","OK"))</f>
        <v/>
      </c>
    </row>
    <row r="9">
      <c r="A9" s="6" t="inlineStr">
        <is>
          <t>CA005</t>
        </is>
      </c>
      <c r="B9" s="6" t="inlineStr">
        <is>
          <t>JFK</t>
        </is>
      </c>
      <c r="C9" s="6" t="inlineStr">
        <is>
          <t>Captain</t>
        </is>
      </c>
      <c r="D9" s="6" t="inlineStr">
        <is>
          <t>06:00</t>
        </is>
      </c>
      <c r="E9" s="6" t="inlineStr">
        <is>
          <t>19:00</t>
        </is>
      </c>
      <c r="F9" s="6" t="n">
        <v>14</v>
      </c>
      <c r="G9" s="7" t="n">
        <v>8</v>
      </c>
      <c r="H9" s="7" t="n">
        <v>13</v>
      </c>
      <c r="I9" s="6">
        <f>IF(G9&gt;F9,"TIMED OUT",IF(G9&gt;F9-1,"NEAR LIMIT","OK"))</f>
        <v/>
      </c>
      <c r="J9" s="6">
        <f>IF((H9+1)&gt;F9,"TIMEOUT",IF((H9+1)&gt;F9-1,"NEAR LIMIT","OK"))</f>
        <v/>
      </c>
      <c r="K9" s="6">
        <f>IF((H9+2)&gt;F9,"TIMEOUT",IF((H9+2)&gt;F9-1,"NEAR LIMIT","OK"))</f>
        <v/>
      </c>
      <c r="L9" s="6">
        <f>IF((H9+3)&gt;F9,"TIMEOUT",IF((H9+3)&gt;F9-1,"NEAR LIMIT","OK"))</f>
        <v/>
      </c>
    </row>
    <row r="10">
      <c r="A10" s="6" t="inlineStr">
        <is>
          <t>CA006</t>
        </is>
      </c>
      <c r="B10" s="6" t="inlineStr">
        <is>
          <t>JFK</t>
        </is>
      </c>
      <c r="C10" s="6" t="inlineStr">
        <is>
          <t>First Officer</t>
        </is>
      </c>
      <c r="D10" s="6" t="inlineStr">
        <is>
          <t>06:00</t>
        </is>
      </c>
      <c r="E10" s="6" t="inlineStr">
        <is>
          <t>19:00</t>
        </is>
      </c>
      <c r="F10" s="6" t="n">
        <v>14</v>
      </c>
      <c r="G10" s="7" t="n">
        <v>8</v>
      </c>
      <c r="H10" s="7" t="n">
        <v>13</v>
      </c>
      <c r="I10" s="6">
        <f>IF(G10&gt;F10,"TIMED OUT",IF(G10&gt;F10-1,"NEAR LIMIT","OK"))</f>
        <v/>
      </c>
      <c r="J10" s="6">
        <f>IF((H10+1)&gt;F10,"TIMEOUT",IF((H10+1)&gt;F10-1,"NEAR LIMIT","OK"))</f>
        <v/>
      </c>
      <c r="K10" s="6">
        <f>IF((H10+2)&gt;F10,"TIMEOUT",IF((H10+2)&gt;F10-1,"NEAR LIMIT","OK"))</f>
        <v/>
      </c>
      <c r="L10" s="6">
        <f>IF((H10+3)&gt;F10,"TIMEOUT",IF((H10+3)&gt;F10-1,"NEAR LIMIT","OK"))</f>
        <v/>
      </c>
    </row>
    <row r="11">
      <c r="A11" s="6" t="inlineStr">
        <is>
          <t>CA007</t>
        </is>
      </c>
      <c r="B11" s="6" t="inlineStr">
        <is>
          <t>FLL</t>
        </is>
      </c>
      <c r="C11" s="6" t="inlineStr">
        <is>
          <t>Captain</t>
        </is>
      </c>
      <c r="D11" s="6" t="inlineStr">
        <is>
          <t>05:30</t>
        </is>
      </c>
      <c r="E11" s="6" t="inlineStr">
        <is>
          <t>18:30</t>
        </is>
      </c>
      <c r="F11" s="6" t="n">
        <v>16</v>
      </c>
      <c r="G11" s="7" t="n">
        <v>8.5</v>
      </c>
      <c r="H11" s="7" t="n">
        <v>13</v>
      </c>
      <c r="I11" s="6">
        <f>IF(G11&gt;F11,"TIMED OUT",IF(G11&gt;F11-1,"NEAR LIMIT","OK"))</f>
        <v/>
      </c>
      <c r="J11" s="6">
        <f>IF((H11+1)&gt;F11,"TIMEOUT",IF((H11+1)&gt;F11-1,"NEAR LIMIT","OK"))</f>
        <v/>
      </c>
      <c r="K11" s="6">
        <f>IF((H11+2)&gt;F11,"TIMEOUT",IF((H11+2)&gt;F11-1,"NEAR LIMIT","OK"))</f>
        <v/>
      </c>
      <c r="L11" s="6">
        <f>IF((H11+3)&gt;F11,"TIMEOUT",IF((H11+3)&gt;F11-1,"NEAR LIMIT","OK"))</f>
        <v/>
      </c>
    </row>
    <row r="12">
      <c r="A12" s="6" t="inlineStr">
        <is>
          <t>CA008</t>
        </is>
      </c>
      <c r="B12" s="6" t="inlineStr">
        <is>
          <t>FLL</t>
        </is>
      </c>
      <c r="C12" s="6" t="inlineStr">
        <is>
          <t>First Officer</t>
        </is>
      </c>
      <c r="D12" s="6" t="inlineStr">
        <is>
          <t>05:30</t>
        </is>
      </c>
      <c r="E12" s="6" t="inlineStr">
        <is>
          <t>18:30</t>
        </is>
      </c>
      <c r="F12" s="6" t="n">
        <v>16</v>
      </c>
      <c r="G12" s="7" t="n">
        <v>8.5</v>
      </c>
      <c r="H12" s="7" t="n">
        <v>13</v>
      </c>
      <c r="I12" s="6">
        <f>IF(G12&gt;F12,"TIMED OUT",IF(G12&gt;F12-1,"NEAR LIMIT","OK"))</f>
        <v/>
      </c>
      <c r="J12" s="6">
        <f>IF((H12+1)&gt;F12,"TIMEOUT",IF((H12+1)&gt;F12-1,"NEAR LIMIT","OK"))</f>
        <v/>
      </c>
      <c r="K12" s="6">
        <f>IF((H12+2)&gt;F12,"TIMEOUT",IF((H12+2)&gt;F12-1,"NEAR LIMIT","OK"))</f>
        <v/>
      </c>
      <c r="L12" s="6">
        <f>IF((H12+3)&gt;F12,"TIMEOUT",IF((H12+3)&gt;F12-1,"NEAR LIMIT","OK"))</f>
        <v/>
      </c>
    </row>
    <row r="13">
      <c r="A13" s="6" t="inlineStr">
        <is>
          <t>CA009</t>
        </is>
      </c>
      <c r="B13" s="6" t="inlineStr">
        <is>
          <t>MCO</t>
        </is>
      </c>
      <c r="C13" s="6" t="inlineStr">
        <is>
          <t>Captain</t>
        </is>
      </c>
      <c r="D13" s="6" t="inlineStr">
        <is>
          <t>06:15</t>
        </is>
      </c>
      <c r="E13" s="6" t="inlineStr">
        <is>
          <t>17:15</t>
        </is>
      </c>
      <c r="F13" s="6" t="n">
        <v>14</v>
      </c>
      <c r="G13" s="7" t="n">
        <v>7.75</v>
      </c>
      <c r="H13" s="7" t="n">
        <v>11</v>
      </c>
      <c r="I13" s="6">
        <f>IF(G13&gt;F13,"TIMED OUT",IF(G13&gt;F13-1,"NEAR LIMIT","OK"))</f>
        <v/>
      </c>
      <c r="J13" s="6">
        <f>IF((H13+1)&gt;F13,"TIMEOUT",IF((H13+1)&gt;F13-1,"NEAR LIMIT","OK"))</f>
        <v/>
      </c>
      <c r="K13" s="6">
        <f>IF((H13+2)&gt;F13,"TIMEOUT",IF((H13+2)&gt;F13-1,"NEAR LIMIT","OK"))</f>
        <v/>
      </c>
      <c r="L13" s="6">
        <f>IF((H13+3)&gt;F13,"TIMEOUT",IF((H13+3)&gt;F13-1,"NEAR LIMIT","OK"))</f>
        <v/>
      </c>
    </row>
    <row r="14">
      <c r="A14" s="6" t="inlineStr">
        <is>
          <t>CA010</t>
        </is>
      </c>
      <c r="B14" s="6" t="inlineStr">
        <is>
          <t>MCO</t>
        </is>
      </c>
      <c r="C14" s="6" t="inlineStr">
        <is>
          <t>First Officer</t>
        </is>
      </c>
      <c r="D14" s="6" t="inlineStr">
        <is>
          <t>06:15</t>
        </is>
      </c>
      <c r="E14" s="6" t="inlineStr">
        <is>
          <t>17:15</t>
        </is>
      </c>
      <c r="F14" s="6" t="n">
        <v>14</v>
      </c>
      <c r="G14" s="7" t="n">
        <v>7.75</v>
      </c>
      <c r="H14" s="7" t="n">
        <v>11</v>
      </c>
      <c r="I14" s="6">
        <f>IF(G14&gt;F14,"TIMED OUT",IF(G14&gt;F14-1,"NEAR LIMIT","OK"))</f>
        <v/>
      </c>
      <c r="J14" s="6">
        <f>IF((H14+1)&gt;F14,"TIMEOUT",IF((H14+1)&gt;F14-1,"NEAR LIMIT","OK"))</f>
        <v/>
      </c>
      <c r="K14" s="6">
        <f>IF((H14+2)&gt;F14,"TIMEOUT",IF((H14+2)&gt;F14-1,"NEAR LIMIT","OK"))</f>
        <v/>
      </c>
      <c r="L14" s="6">
        <f>IF((H14+3)&gt;F14,"TIMEOUT",IF((H14+3)&gt;F14-1,"NEAR LIMIT","OK"))</f>
        <v/>
      </c>
    </row>
    <row r="15">
      <c r="A15" s="6" t="inlineStr">
        <is>
          <t>CA011</t>
        </is>
      </c>
      <c r="B15" s="6" t="inlineStr">
        <is>
          <t>BOS</t>
        </is>
      </c>
      <c r="C15" s="6" t="inlineStr">
        <is>
          <t>Captain</t>
        </is>
      </c>
      <c r="D15" s="6" t="inlineStr">
        <is>
          <t>07:00</t>
        </is>
      </c>
      <c r="E15" s="6" t="inlineStr">
        <is>
          <t>19:30</t>
        </is>
      </c>
      <c r="F15" s="6" t="n">
        <v>14</v>
      </c>
      <c r="G15" s="7" t="n">
        <v>7</v>
      </c>
      <c r="H15" s="7" t="n">
        <v>12.5</v>
      </c>
      <c r="I15" s="6">
        <f>IF(G15&gt;F15,"TIMED OUT",IF(G15&gt;F15-1,"NEAR LIMIT","OK"))</f>
        <v/>
      </c>
      <c r="J15" s="6">
        <f>IF((H15+1)&gt;F15,"TIMEOUT",IF((H15+1)&gt;F15-1,"NEAR LIMIT","OK"))</f>
        <v/>
      </c>
      <c r="K15" s="6">
        <f>IF((H15+2)&gt;F15,"TIMEOUT",IF((H15+2)&gt;F15-1,"NEAR LIMIT","OK"))</f>
        <v/>
      </c>
      <c r="L15" s="6">
        <f>IF((H15+3)&gt;F15,"TIMEOUT",IF((H15+3)&gt;F15-1,"NEAR LIMIT","OK"))</f>
        <v/>
      </c>
    </row>
    <row r="16">
      <c r="A16" s="6" t="inlineStr">
        <is>
          <t>CA012</t>
        </is>
      </c>
      <c r="B16" s="6" t="inlineStr">
        <is>
          <t>BOS</t>
        </is>
      </c>
      <c r="C16" s="6" t="inlineStr">
        <is>
          <t>First Officer</t>
        </is>
      </c>
      <c r="D16" s="6" t="inlineStr">
        <is>
          <t>07:00</t>
        </is>
      </c>
      <c r="E16" s="6" t="inlineStr">
        <is>
          <t>19:30</t>
        </is>
      </c>
      <c r="F16" s="6" t="n">
        <v>14</v>
      </c>
      <c r="G16" s="7" t="n">
        <v>7</v>
      </c>
      <c r="H16" s="7" t="n">
        <v>12.5</v>
      </c>
      <c r="I16" s="6">
        <f>IF(G16&gt;F16,"TIMED OUT",IF(G16&gt;F16-1,"NEAR LIMIT","OK"))</f>
        <v/>
      </c>
      <c r="J16" s="6">
        <f>IF((H16+1)&gt;F16,"TIMEOUT",IF((H16+1)&gt;F16-1,"NEAR LIMIT","OK"))</f>
        <v/>
      </c>
      <c r="K16" s="6">
        <f>IF((H16+2)&gt;F16,"TIMEOUT",IF((H16+2)&gt;F16-1,"NEAR LIMIT","OK"))</f>
        <v/>
      </c>
      <c r="L16" s="6">
        <f>IF((H16+3)&gt;F16,"TIMEOUT",IF((H16+3)&gt;F16-1,"NEAR LIMIT","OK"))</f>
        <v/>
      </c>
    </row>
    <row r="17">
      <c r="A17" s="6" t="inlineStr">
        <is>
          <t>CA013</t>
        </is>
      </c>
      <c r="B17" s="6" t="inlineStr">
        <is>
          <t>JFK</t>
        </is>
      </c>
      <c r="C17" s="6" t="inlineStr">
        <is>
          <t>Captain</t>
        </is>
      </c>
      <c r="D17" s="6" t="inlineStr">
        <is>
          <t>03:45</t>
        </is>
      </c>
      <c r="E17" s="6" t="inlineStr">
        <is>
          <t>15:45</t>
        </is>
      </c>
      <c r="F17" s="6" t="n">
        <v>14</v>
      </c>
      <c r="G17" s="7" t="n">
        <v>10.25</v>
      </c>
      <c r="H17" s="7" t="n">
        <v>12</v>
      </c>
      <c r="I17" s="6">
        <f>IF(G17&gt;F17,"TIMED OUT",IF(G17&gt;F17-1,"NEAR LIMIT","OK"))</f>
        <v/>
      </c>
      <c r="J17" s="6">
        <f>IF((H17+1)&gt;F17,"TIMEOUT",IF((H17+1)&gt;F17-1,"NEAR LIMIT","OK"))</f>
        <v/>
      </c>
      <c r="K17" s="6">
        <f>IF((H17+2)&gt;F17,"TIMEOUT",IF((H17+2)&gt;F17-1,"NEAR LIMIT","OK"))</f>
        <v/>
      </c>
      <c r="L17" s="6">
        <f>IF((H17+3)&gt;F17,"TIMEOUT",IF((H17+3)&gt;F17-1,"NEAR LIMIT","OK"))</f>
        <v/>
      </c>
    </row>
    <row r="18">
      <c r="A18" s="6" t="inlineStr">
        <is>
          <t>CA014</t>
        </is>
      </c>
      <c r="B18" s="6" t="inlineStr">
        <is>
          <t>JFK</t>
        </is>
      </c>
      <c r="C18" s="6" t="inlineStr">
        <is>
          <t>First Officer</t>
        </is>
      </c>
      <c r="D18" s="6" t="inlineStr">
        <is>
          <t>03:45</t>
        </is>
      </c>
      <c r="E18" s="6" t="inlineStr">
        <is>
          <t>15:45</t>
        </is>
      </c>
      <c r="F18" s="6" t="n">
        <v>14</v>
      </c>
      <c r="G18" s="7" t="n">
        <v>10.25</v>
      </c>
      <c r="H18" s="7" t="n">
        <v>12</v>
      </c>
      <c r="I18" s="6">
        <f>IF(G18&gt;F18,"TIMED OUT",IF(G18&gt;F18-1,"NEAR LIMIT","OK"))</f>
        <v/>
      </c>
      <c r="J18" s="6">
        <f>IF((H18+1)&gt;F18,"TIMEOUT",IF((H18+1)&gt;F18-1,"NEAR LIMIT","OK"))</f>
        <v/>
      </c>
      <c r="K18" s="6">
        <f>IF((H18+2)&gt;F18,"TIMEOUT",IF((H18+2)&gt;F18-1,"NEAR LIMIT","OK"))</f>
        <v/>
      </c>
      <c r="L18" s="6">
        <f>IF((H18+3)&gt;F18,"TIMEOUT",IF((H18+3)&gt;F18-1,"NEAR LIMIT","OK"))</f>
        <v/>
      </c>
    </row>
    <row r="19">
      <c r="A19" s="6" t="inlineStr">
        <is>
          <t>CA015</t>
        </is>
      </c>
      <c r="B19" s="6" t="inlineStr">
        <is>
          <t>LGB</t>
        </is>
      </c>
      <c r="C19" s="6" t="inlineStr">
        <is>
          <t>Captain</t>
        </is>
      </c>
      <c r="D19" s="6" t="inlineStr">
        <is>
          <t>05:00</t>
        </is>
      </c>
      <c r="E19" s="6" t="inlineStr">
        <is>
          <t>20:00</t>
        </is>
      </c>
      <c r="F19" s="6" t="n">
        <v>16</v>
      </c>
      <c r="G19" s="7" t="n">
        <v>9</v>
      </c>
      <c r="H19" s="7" t="n">
        <v>15</v>
      </c>
      <c r="I19" s="6">
        <f>IF(G19&gt;F19,"TIMED OUT",IF(G19&gt;F19-1,"NEAR LIMIT","OK"))</f>
        <v/>
      </c>
      <c r="J19" s="6">
        <f>IF((H19+1)&gt;F19,"TIMEOUT",IF((H19+1)&gt;F19-1,"NEAR LIMIT","OK"))</f>
        <v/>
      </c>
      <c r="K19" s="6">
        <f>IF((H19+2)&gt;F19,"TIMEOUT",IF((H19+2)&gt;F19-1,"NEAR LIMIT","OK"))</f>
        <v/>
      </c>
      <c r="L19" s="6">
        <f>IF((H19+3)&gt;F19,"TIMEOUT",IF((H19+3)&gt;F19-1,"NEAR LIMIT","OK"))</f>
        <v/>
      </c>
    </row>
    <row r="20">
      <c r="A20" s="6" t="inlineStr">
        <is>
          <t>CA016</t>
        </is>
      </c>
      <c r="B20" s="6" t="inlineStr">
        <is>
          <t>LGB</t>
        </is>
      </c>
      <c r="C20" s="6" t="inlineStr">
        <is>
          <t>First Officer</t>
        </is>
      </c>
      <c r="D20" s="6" t="inlineStr">
        <is>
          <t>05:00</t>
        </is>
      </c>
      <c r="E20" s="6" t="inlineStr">
        <is>
          <t>20:00</t>
        </is>
      </c>
      <c r="F20" s="6" t="n">
        <v>16</v>
      </c>
      <c r="G20" s="7" t="n">
        <v>9</v>
      </c>
      <c r="H20" s="7" t="n">
        <v>15</v>
      </c>
      <c r="I20" s="6">
        <f>IF(G20&gt;F20,"TIMED OUT",IF(G20&gt;F20-1,"NEAR LIMIT","OK"))</f>
        <v/>
      </c>
      <c r="J20" s="6">
        <f>IF((H20+1)&gt;F20,"TIMEOUT",IF((H20+1)&gt;F20-1,"NEAR LIMIT","OK"))</f>
        <v/>
      </c>
      <c r="K20" s="6">
        <f>IF((H20+2)&gt;F20,"TIMEOUT",IF((H20+2)&gt;F20-1,"NEAR LIMIT","OK"))</f>
        <v/>
      </c>
      <c r="L20" s="6">
        <f>IF((H20+3)&gt;F20,"TIMEOUT",IF((H20+3)&gt;F20-1,"NEAR LIMIT","OK"))</f>
        <v/>
      </c>
    </row>
    <row r="21">
      <c r="A21" s="6" t="inlineStr">
        <is>
          <t>CA017</t>
        </is>
      </c>
      <c r="B21" s="6" t="inlineStr">
        <is>
          <t>SFO</t>
        </is>
      </c>
      <c r="C21" s="6" t="inlineStr">
        <is>
          <t>Captain</t>
        </is>
      </c>
      <c r="D21" s="6" t="inlineStr">
        <is>
          <t>06:30</t>
        </is>
      </c>
      <c r="E21" s="6" t="inlineStr">
        <is>
          <t>17:00</t>
        </is>
      </c>
      <c r="F21" s="6" t="n">
        <v>14</v>
      </c>
      <c r="G21" s="7" t="n">
        <v>7.5</v>
      </c>
      <c r="H21" s="7" t="n">
        <v>10.5</v>
      </c>
      <c r="I21" s="6">
        <f>IF(G21&gt;F21,"TIMED OUT",IF(G21&gt;F21-1,"NEAR LIMIT","OK"))</f>
        <v/>
      </c>
      <c r="J21" s="6">
        <f>IF((H21+1)&gt;F21,"TIMEOUT",IF((H21+1)&gt;F21-1,"NEAR LIMIT","OK"))</f>
        <v/>
      </c>
      <c r="K21" s="6">
        <f>IF((H21+2)&gt;F21,"TIMEOUT",IF((H21+2)&gt;F21-1,"NEAR LIMIT","OK"))</f>
        <v/>
      </c>
      <c r="L21" s="6">
        <f>IF((H21+3)&gt;F21,"TIMEOUT",IF((H21+3)&gt;F21-1,"NEAR LIMIT","OK"))</f>
        <v/>
      </c>
    </row>
    <row r="22">
      <c r="A22" s="6" t="inlineStr">
        <is>
          <t>CA018</t>
        </is>
      </c>
      <c r="B22" s="6" t="inlineStr">
        <is>
          <t>SFO</t>
        </is>
      </c>
      <c r="C22" s="6" t="inlineStr">
        <is>
          <t>First Officer</t>
        </is>
      </c>
      <c r="D22" s="6" t="inlineStr">
        <is>
          <t>06:30</t>
        </is>
      </c>
      <c r="E22" s="6" t="inlineStr">
        <is>
          <t>17:00</t>
        </is>
      </c>
      <c r="F22" s="6" t="n">
        <v>14</v>
      </c>
      <c r="G22" s="7" t="n">
        <v>7.5</v>
      </c>
      <c r="H22" s="7" t="n">
        <v>10.5</v>
      </c>
      <c r="I22" s="6">
        <f>IF(G22&gt;F22,"TIMED OUT",IF(G22&gt;F22-1,"NEAR LIMIT","OK"))</f>
        <v/>
      </c>
      <c r="J22" s="6">
        <f>IF((H22+1)&gt;F22,"TIMEOUT",IF((H22+1)&gt;F22-1,"NEAR LIMIT","OK"))</f>
        <v/>
      </c>
      <c r="K22" s="6">
        <f>IF((H22+2)&gt;F22,"TIMEOUT",IF((H22+2)&gt;F22-1,"NEAR LIMIT","OK"))</f>
        <v/>
      </c>
      <c r="L22" s="6">
        <f>IF((H22+3)&gt;F22,"TIMEOUT",IF((H22+3)&gt;F22-1,"NEAR LIMIT","OK"))</f>
        <v/>
      </c>
    </row>
    <row r="25">
      <c r="A25" s="8" t="inlineStr">
        <is>
          <t>SUMMARY</t>
        </is>
      </c>
    </row>
    <row r="26">
      <c r="A26" s="9" t="inlineStr">
        <is>
          <t>Crews already timed out (now)</t>
        </is>
      </c>
      <c r="D26" s="4">
        <f>COUNTIF(I5:I22,"TIMEOUT")+COUNTIF(I5:I22,"TIMED OUT")</f>
        <v/>
      </c>
    </row>
    <row r="27">
      <c r="A27" s="9" t="inlineStr">
        <is>
          <t>Crews at risk with +1 hr delay</t>
        </is>
      </c>
      <c r="D27" s="4">
        <f>COUNTIF(J5:J22,"TIMEOUT")+COUNTIF(J5:J22,"TIMED OUT")</f>
        <v/>
      </c>
    </row>
    <row r="28">
      <c r="A28" s="9" t="inlineStr">
        <is>
          <t>Crews at risk with +2 hr delay</t>
        </is>
      </c>
      <c r="D28" s="4">
        <f>COUNTIF(K5:K22,"TIMEOUT")+COUNTIF(K5:K22,"TIMED OUT")</f>
        <v/>
      </c>
    </row>
    <row r="29">
      <c r="A29" s="9" t="inlineStr">
        <is>
          <t>Crews at risk with +3 hr delay</t>
        </is>
      </c>
      <c r="D29" s="4">
        <f>COUNTIF(L5:L22,"TIMEOUT")+COUNTIF(L5:L22,"TIMED OUT")</f>
        <v/>
      </c>
    </row>
  </sheetData>
  <mergeCells count="2">
    <mergeCell ref="A1:L1"/>
    <mergeCell ref="A2:J2"/>
  </mergeCells>
  <conditionalFormatting sqref="I5:I22">
    <cfRule type="cellIs" priority="1" operator="equal" dxfId="0">
      <formula>"TIMEOUT"</formula>
    </cfRule>
    <cfRule type="cellIs" priority="2" operator="equal" dxfId="0">
      <formula>"TIMED OUT"</formula>
    </cfRule>
    <cfRule type="cellIs" priority="3" operator="equal" dxfId="1">
      <formula>"NEAR LIMIT"</formula>
    </cfRule>
    <cfRule type="cellIs" priority="4" operator="equal" dxfId="2">
      <formula>"OK"</formula>
    </cfRule>
  </conditionalFormatting>
  <conditionalFormatting sqref="J5:J22">
    <cfRule type="cellIs" priority="5" operator="equal" dxfId="0">
      <formula>"TIMEOUT"</formula>
    </cfRule>
    <cfRule type="cellIs" priority="6" operator="equal" dxfId="0">
      <formula>"TIMED OUT"</formula>
    </cfRule>
    <cfRule type="cellIs" priority="7" operator="equal" dxfId="1">
      <formula>"NEAR LIMIT"</formula>
    </cfRule>
    <cfRule type="cellIs" priority="8" operator="equal" dxfId="2">
      <formula>"OK"</formula>
    </cfRule>
  </conditionalFormatting>
  <conditionalFormatting sqref="K5:K22">
    <cfRule type="cellIs" priority="9" operator="equal" dxfId="0">
      <formula>"TIMEOUT"</formula>
    </cfRule>
    <cfRule type="cellIs" priority="10" operator="equal" dxfId="0">
      <formula>"TIMED OUT"</formula>
    </cfRule>
    <cfRule type="cellIs" priority="11" operator="equal" dxfId="1">
      <formula>"NEAR LIMIT"</formula>
    </cfRule>
    <cfRule type="cellIs" priority="12" operator="equal" dxfId="2">
      <formula>"OK"</formula>
    </cfRule>
  </conditionalFormatting>
  <conditionalFormatting sqref="L5:L22">
    <cfRule type="cellIs" priority="13" operator="equal" dxfId="0">
      <formula>"TIMEOUT"</formula>
    </cfRule>
    <cfRule type="cellIs" priority="14" operator="equal" dxfId="0">
      <formula>"TIMED OUT"</formula>
    </cfRule>
    <cfRule type="cellIs" priority="15" operator="equal" dxfId="1">
      <formula>"NEAR LIMIT"</formula>
    </cfRule>
    <cfRule type="cellIs" priority="16" operator="equal" dxfId="2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0" t="inlineStr">
        <is>
          <t>CASE 3 — Crew Duty Hour Scenario Planner</t>
        </is>
      </c>
    </row>
    <row r="2">
      <c r="A2" s="11" t="inlineStr"/>
    </row>
    <row r="3">
      <c r="A3" s="8" t="inlineStr">
        <is>
          <t>SCENARIO</t>
        </is>
      </c>
    </row>
    <row r="4">
      <c r="A4" s="11" t="inlineStr">
        <is>
          <t>A winter storm is hitting BOS. SOC time is 14:00. Delays are extending.</t>
        </is>
      </c>
    </row>
    <row r="5">
      <c r="A5" s="11" t="inlineStr">
        <is>
          <t>Identify which crews will time out if delays extend by +1, +2, or +3 hours.</t>
        </is>
      </c>
    </row>
    <row r="6">
      <c r="A6" s="11" t="inlineStr"/>
    </row>
    <row r="7">
      <c r="A7" s="8" t="inlineStr">
        <is>
          <t>HOW TO USE</t>
        </is>
      </c>
    </row>
    <row r="8">
      <c r="A8" s="11" t="inlineStr">
        <is>
          <t>- Columns I-L: current status, +1hr, +2hr, +3hr scenarios</t>
        </is>
      </c>
    </row>
    <row r="9">
      <c r="A9" s="11" t="inlineStr">
        <is>
          <t>- RED = TIMEOUT (crew exceeds FAA max duty hours)</t>
        </is>
      </c>
    </row>
    <row r="10">
      <c r="A10" s="11" t="inlineStr">
        <is>
          <t>- YELLOW = NEAR LIMIT (within 1 hour of timing out)</t>
        </is>
      </c>
    </row>
    <row r="11">
      <c r="A11" s="11" t="inlineStr">
        <is>
          <t>- GREEN = OK under that scenario</t>
        </is>
      </c>
    </row>
    <row r="12">
      <c r="A12" s="11" t="inlineStr">
        <is>
          <t>- Summary rows at bottom count how many crews hit risk per scenario</t>
        </is>
      </c>
    </row>
    <row r="13">
      <c r="A13" s="11" t="inlineStr"/>
    </row>
    <row r="14">
      <c r="A14" s="8" t="inlineStr">
        <is>
          <t>INTERVIEW TIPS</t>
        </is>
      </c>
    </row>
    <row r="15">
      <c r="A15" s="11" t="inlineStr">
        <is>
          <t>- FAA FAR 117: standard crews max 14 hrs; augmented (3+ pilots) can extend to 16 hrs</t>
        </is>
      </c>
    </row>
    <row r="16">
      <c r="A16" s="11" t="inlineStr">
        <is>
          <t>- Proactively flagging timeouts BEFORE the delay happens = what the SOC wants from you</t>
        </is>
      </c>
    </row>
    <row r="17">
      <c r="A17" s="11" t="inlineStr">
        <is>
          <t>- In practice you'd pull this from CrewTrac/Sabre and pipe it into Tableau</t>
        </is>
      </c>
    </row>
    <row r="18">
      <c r="A18" s="11" t="inlineStr">
        <is>
          <t>- Tell the interviewer you'd add data validation so the delay input is bounded 0-6 hrs</t>
        </is>
      </c>
    </row>
    <row r="19">
      <c r="A19" s="11" t="inlineStr"/>
    </row>
    <row r="20">
      <c r="A20" s="8" t="inlineStr">
        <is>
          <t>KEY FORMULAS</t>
        </is>
      </c>
    </row>
    <row r="21">
      <c r="A21" s="12" t="inlineStr">
        <is>
          <t>Hrs elapsed:   =(TIMEVALUE("14:00") - TIMEVALUE(D5)) * 24</t>
        </is>
      </c>
    </row>
    <row r="22">
      <c r="A22" s="12" t="inlineStr">
        <is>
          <t>Sched hrs:     =(TIMEVALUE(E5) - TIMEVALUE(D5)) * 24</t>
        </is>
      </c>
    </row>
    <row r="23">
      <c r="A23" s="12" t="inlineStr">
        <is>
          <t>+N hr scenario: =IF((H5+N)&gt;F5,"TIMEOUT",IF((H5+N)&gt;F5-1,"NEAR LIMIT","OK"))</t>
        </is>
      </c>
    </row>
    <row r="24">
      <c r="A24" s="12" t="inlineStr">
        <is>
          <t>Count timeouts: =COUNTIF(J5:J22,"TIMEOUT")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2026-05-28T22:56:04Z</dcterms:created>
  <dcterms:modified xmlns:dcterms="http://purl.org/dc/terms/" xmlns:xsi="http://www.w3.org/2001/XMLSchema-instance" xsi:type="dcterms:W3CDTF">2026-05-28T22:56:04Z</dcterms:modified>
</cp:coreProperties>
</file>